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evy\Documents\peterlevy.github.io\data-raw\"/>
    </mc:Choice>
  </mc:AlternateContent>
  <xr:revisionPtr revIDLastSave="0" documentId="13_ncr:1_{3423C1DC-ADEC-4DD4-AA20-6D867F9C7502}" xr6:coauthVersionLast="47" xr6:coauthVersionMax="47" xr10:uidLastSave="{00000000-0000-0000-0000-000000000000}"/>
  <bookViews>
    <workbookView xWindow="-120" yWindow="-120" windowWidth="29040" windowHeight="15720" xr2:uid="{C1DCD5EC-32CA-4F00-96B1-C6E23FE4416D}"/>
  </bookViews>
  <sheets>
    <sheet name="Sheet1" sheetId="1" r:id="rId1"/>
    <sheet name="Sheet3" sheetId="3" r:id="rId2"/>
    <sheet name="param" sheetId="2" r:id="rId3"/>
  </sheets>
  <definedNames>
    <definedName name="rotn_length">param!$B$1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8" i="1"/>
  <c r="I7" i="1"/>
  <c r="I6" i="1"/>
  <c r="I5" i="1"/>
  <c r="I4" i="1"/>
  <c r="I3" i="1"/>
  <c r="I2" i="1"/>
  <c r="K10" i="1"/>
  <c r="K9" i="1"/>
  <c r="K11" i="1"/>
  <c r="K18" i="3"/>
  <c r="J18" i="3"/>
  <c r="I18" i="3"/>
  <c r="E18" i="3"/>
  <c r="D18" i="3"/>
  <c r="C18" i="3"/>
  <c r="B18" i="3"/>
  <c r="B13" i="3"/>
  <c r="K16" i="3"/>
  <c r="J16" i="3"/>
  <c r="I16" i="3"/>
  <c r="H16" i="3"/>
  <c r="H18" i="3" s="1"/>
  <c r="G16" i="3"/>
  <c r="G18" i="3" s="1"/>
  <c r="F16" i="3"/>
  <c r="F18" i="3" s="1"/>
  <c r="E16" i="3"/>
  <c r="D16" i="3"/>
  <c r="C16" i="3"/>
  <c r="B16" i="3"/>
  <c r="D13" i="1"/>
  <c r="P3" i="1"/>
  <c r="C13" i="1"/>
  <c r="O3" i="1"/>
  <c r="O4" i="1"/>
  <c r="O5" i="1"/>
  <c r="O6" i="1"/>
  <c r="O7" i="1"/>
  <c r="O8" i="1"/>
  <c r="O9" i="1"/>
  <c r="O10" i="1"/>
  <c r="O11" i="1"/>
  <c r="O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G2" i="1"/>
  <c r="H2" i="1"/>
  <c r="E2" i="1"/>
  <c r="F2" i="1" s="1"/>
  <c r="E4" i="1"/>
  <c r="K4" i="1" s="1"/>
  <c r="E5" i="1"/>
  <c r="K5" i="1" s="1"/>
  <c r="E6" i="1"/>
  <c r="K6" i="1" s="1"/>
  <c r="E7" i="1"/>
  <c r="E8" i="1"/>
  <c r="P8" i="1" s="1"/>
  <c r="E9" i="1"/>
  <c r="P9" i="1" s="1"/>
  <c r="E10" i="1"/>
  <c r="P10" i="1" s="1"/>
  <c r="E11" i="1"/>
  <c r="P11" i="1" s="1"/>
  <c r="E3" i="1"/>
  <c r="K8" i="1" l="1"/>
  <c r="O13" i="1"/>
  <c r="O14" i="1" s="1"/>
  <c r="K3" i="1"/>
  <c r="K7" i="1"/>
  <c r="P7" i="1"/>
  <c r="P6" i="1"/>
  <c r="P5" i="1"/>
  <c r="P4" i="1"/>
  <c r="P2" i="1"/>
  <c r="K2" i="1"/>
  <c r="B20" i="3"/>
  <c r="J8" i="1"/>
  <c r="J7" i="1"/>
  <c r="E13" i="1"/>
  <c r="J6" i="1"/>
  <c r="J5" i="1"/>
  <c r="J10" i="1"/>
  <c r="F3" i="1"/>
  <c r="J3" i="1"/>
  <c r="J2" i="1"/>
  <c r="F5" i="1"/>
  <c r="J4" i="1"/>
  <c r="F8" i="1"/>
  <c r="J9" i="1"/>
  <c r="F7" i="1"/>
  <c r="J11" i="1"/>
  <c r="F10" i="1"/>
  <c r="F9" i="1"/>
  <c r="F6" i="1"/>
  <c r="F4" i="1"/>
  <c r="F11" i="1"/>
  <c r="P13" i="1" l="1"/>
  <c r="P14" i="1" s="1"/>
  <c r="L7" i="1"/>
  <c r="M7" i="1" s="1"/>
  <c r="L8" i="1"/>
  <c r="M8" i="1" s="1"/>
  <c r="L5" i="1"/>
  <c r="M5" i="1" s="1"/>
  <c r="L9" i="1"/>
  <c r="M9" i="1" s="1"/>
  <c r="L10" i="1"/>
  <c r="M10" i="1" s="1"/>
  <c r="L11" i="1"/>
  <c r="M11" i="1" s="1"/>
  <c r="L2" i="1"/>
  <c r="M2" i="1" s="1"/>
  <c r="L3" i="1"/>
  <c r="M3" i="1" s="1"/>
  <c r="L4" i="1"/>
  <c r="M4" i="1" s="1"/>
  <c r="L6" i="1"/>
  <c r="M6" i="1" s="1"/>
</calcChain>
</file>

<file path=xl/sharedStrings.xml><?xml version="1.0" encoding="utf-8"?>
<sst xmlns="http://schemas.openxmlformats.org/spreadsheetml/2006/main" count="73" uniqueCount="21">
  <si>
    <t>time</t>
  </si>
  <si>
    <t>f_c</t>
  </si>
  <si>
    <t>f_c_mean</t>
  </si>
  <si>
    <t>f_c_mean_w</t>
  </si>
  <si>
    <t>sum_area</t>
  </si>
  <si>
    <t>sum_f_c</t>
  </si>
  <si>
    <t>w</t>
  </si>
  <si>
    <t>f_c_mean_uw</t>
  </si>
  <si>
    <t>sum_w</t>
  </si>
  <si>
    <t>sum_f_c_time_w</t>
  </si>
  <si>
    <t>area_planted_m2</t>
  </si>
  <si>
    <t>area_in_age_class_t_m2</t>
  </si>
  <si>
    <t>f_c_times_area_in_age_class</t>
  </si>
  <si>
    <t>f_c_mean_times_area</t>
  </si>
  <si>
    <t>rotn_length</t>
  </si>
  <si>
    <t>by year</t>
  </si>
  <si>
    <t>f_c_mean*w</t>
  </si>
  <si>
    <t>[yr]</t>
  </si>
  <si>
    <t>[kg/m^2]</t>
  </si>
  <si>
    <t>[kg/(m^2*yr)]</t>
  </si>
  <si>
    <t>f_c_mean_*_w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</si>
</sst>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f_c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8.3534289999999997E-2</c:v>
                </c:pt>
                <c:pt idx="1">
                  <c:v>0.16706857999999999</c:v>
                </c:pt>
                <c:pt idx="2">
                  <c:v>0.15471199999999999</c:v>
                </c:pt>
                <c:pt idx="3">
                  <c:v>0.18004342000000001</c:v>
                </c:pt>
                <c:pt idx="4">
                  <c:v>0.24306284</c:v>
                </c:pt>
                <c:pt idx="5">
                  <c:v>0.34682878</c:v>
                </c:pt>
                <c:pt idx="6">
                  <c:v>0.50357529999999995</c:v>
                </c:pt>
                <c:pt idx="7">
                  <c:v>0.71636091000000002</c:v>
                </c:pt>
                <c:pt idx="8">
                  <c:v>0.98518561000000004</c:v>
                </c:pt>
                <c:pt idx="9">
                  <c:v>1.31004941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11-4D29-A127-09CA08E1662F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f_c_mean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Sheet1!$E$2:$E$11</c:f>
              <c:numCache>
                <c:formatCode>General</c:formatCode>
                <c:ptCount val="10"/>
                <c:pt idx="0">
                  <c:v>8.3534289999999997E-2</c:v>
                </c:pt>
                <c:pt idx="1">
                  <c:v>0.12530143499999999</c:v>
                </c:pt>
                <c:pt idx="2">
                  <c:v>0.13510495666666666</c:v>
                </c:pt>
                <c:pt idx="3">
                  <c:v>0.14633957250000001</c:v>
                </c:pt>
                <c:pt idx="4">
                  <c:v>0.16568422600000002</c:v>
                </c:pt>
                <c:pt idx="5">
                  <c:v>0.195874985</c:v>
                </c:pt>
                <c:pt idx="6">
                  <c:v>0.23983217285714284</c:v>
                </c:pt>
                <c:pt idx="7">
                  <c:v>0.299398265</c:v>
                </c:pt>
                <c:pt idx="8">
                  <c:v>0.37559685888888894</c:v>
                </c:pt>
                <c:pt idx="9">
                  <c:v>0.46904211399999995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11-4D29-A127-09CA08E1662F}"/>
            </c:ext>
          </c:extLst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f_c_mean_w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Sheet1!$M$2:$M$11</c:f>
              <c:numCache>
                <c:formatCode>General</c:formatCode>
                <c:ptCount val="10"/>
                <c:pt idx="0">
                  <c:v>8.3534289999999997E-2</c:v>
                </c:pt>
                <c:pt idx="1">
                  <c:v>0.11137905333333332</c:v>
                </c:pt>
                <c:pt idx="2">
                  <c:v>0.123242005</c:v>
                </c:pt>
                <c:pt idx="3">
                  <c:v>0.132481032</c:v>
                </c:pt>
                <c:pt idx="4">
                  <c:v>0.14354876333333336</c:v>
                </c:pt>
                <c:pt idx="5">
                  <c:v>0.15849911238095241</c:v>
                </c:pt>
                <c:pt idx="6">
                  <c:v>0.17883237750000003</c:v>
                </c:pt>
                <c:pt idx="7">
                  <c:v>0.20562479694444447</c:v>
                </c:pt>
                <c:pt idx="8">
                  <c:v>0.23961920933333336</c:v>
                </c:pt>
                <c:pt idx="9">
                  <c:v>0.28133246472727275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11-4D29-A127-09CA08E16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341008"/>
        <c:axId val="638334528"/>
      </c:scatterChart>
      <c:valAx>
        <c:axId val="63834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34528"/>
        <c:crosses val="autoZero"/>
        <c:crossBetween val="midCat"/>
      </c:valAx>
      <c:valAx>
        <c:axId val="63833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4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15</xdr:row>
      <xdr:rowOff>128587</xdr:rowOff>
    </xdr:from>
    <xdr:to>
      <xdr:col>13</xdr:col>
      <xdr:colOff>66675</xdr:colOff>
      <xdr:row>30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2278C-8E6F-A670-4DE4-9E2C6FEA0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A783-A697-465C-BB29-F8A163D85641}">
  <dimension ref="A1:Z14"/>
  <sheetViews>
    <sheetView tabSelected="1" workbookViewId="0">
      <selection activeCell="M13" sqref="M13"/>
    </sheetView>
  </sheetViews>
  <sheetFormatPr defaultRowHeight="15" x14ac:dyDescent="0.25"/>
  <cols>
    <col min="2" max="2" width="16.28515625" bestFit="1" customWidth="1"/>
    <col min="3" max="3" width="16.28515625" customWidth="1"/>
    <col min="6" max="6" width="12.7109375" bestFit="1" customWidth="1"/>
    <col min="11" max="12" width="10.7109375" customWidth="1"/>
  </cols>
  <sheetData>
    <row r="1" spans="1:26" x14ac:dyDescent="0.25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7</v>
      </c>
      <c r="G1" t="s">
        <v>4</v>
      </c>
      <c r="H1" t="s">
        <v>5</v>
      </c>
      <c r="I1" t="s">
        <v>6</v>
      </c>
      <c r="J1" t="s">
        <v>8</v>
      </c>
      <c r="K1" t="s">
        <v>20</v>
      </c>
      <c r="L1" t="s">
        <v>9</v>
      </c>
      <c r="M1" t="s">
        <v>3</v>
      </c>
      <c r="O1" t="s">
        <v>12</v>
      </c>
      <c r="P1" t="s">
        <v>13</v>
      </c>
    </row>
    <row r="2" spans="1:26" x14ac:dyDescent="0.25">
      <c r="A2">
        <v>1</v>
      </c>
      <c r="B2">
        <v>1</v>
      </c>
      <c r="C2">
        <v>10</v>
      </c>
      <c r="D2">
        <v>8.3534289999999997E-2</v>
      </c>
      <c r="E2">
        <f>AVERAGE(D$2:D2)</f>
        <v>8.3534289999999997E-2</v>
      </c>
      <c r="F2">
        <f>AVERAGE(E$2:E2)</f>
        <v>8.3534289999999997E-2</v>
      </c>
      <c r="G2">
        <f>SUM(B$2:B2)</f>
        <v>1</v>
      </c>
      <c r="H2">
        <f>SUM(D$2:D2)</f>
        <v>8.3534289999999997E-2</v>
      </c>
      <c r="I2">
        <f>A2</f>
        <v>1</v>
      </c>
      <c r="J2">
        <f>SUM(I$2:I2)</f>
        <v>1</v>
      </c>
      <c r="K2">
        <f t="shared" ref="K2:K11" si="0">E2*I2</f>
        <v>8.3534289999999997E-2</v>
      </c>
      <c r="L2">
        <f>SUM(K$2:K2)</f>
        <v>8.3534289999999997E-2</v>
      </c>
      <c r="M2">
        <f t="shared" ref="M2:M10" si="1">L2/J2</f>
        <v>8.3534289999999997E-2</v>
      </c>
      <c r="O2">
        <f>D2*C2</f>
        <v>0.8353429</v>
      </c>
      <c r="P2">
        <f>E2*B2</f>
        <v>8.3534289999999997E-2</v>
      </c>
      <c r="R2" s="1">
        <v>4.1666666666666664E-2</v>
      </c>
      <c r="S2">
        <v>1</v>
      </c>
      <c r="T2" t="s">
        <v>17</v>
      </c>
      <c r="U2">
        <v>0.21711320000000001</v>
      </c>
      <c r="V2" t="s">
        <v>18</v>
      </c>
      <c r="W2">
        <v>8.3534289999999997E-2</v>
      </c>
      <c r="X2" t="s">
        <v>18</v>
      </c>
      <c r="Y2">
        <v>8.3534289999999997E-2</v>
      </c>
      <c r="Z2" t="s">
        <v>19</v>
      </c>
    </row>
    <row r="3" spans="1:26" x14ac:dyDescent="0.25">
      <c r="A3">
        <v>2</v>
      </c>
      <c r="B3">
        <v>2</v>
      </c>
      <c r="C3">
        <v>9</v>
      </c>
      <c r="D3">
        <v>0.16706857999999999</v>
      </c>
      <c r="E3">
        <f>AVERAGE(D$2:D3)</f>
        <v>0.12530143499999999</v>
      </c>
      <c r="F3">
        <f>AVERAGE(E$2:E3)</f>
        <v>0.10441786249999999</v>
      </c>
      <c r="G3">
        <f>SUM(B$2:B3)</f>
        <v>3</v>
      </c>
      <c r="H3">
        <f>SUM(D$2:D3)</f>
        <v>0.25060286999999998</v>
      </c>
      <c r="I3">
        <f t="shared" ref="I3:I11" si="2">A3</f>
        <v>2</v>
      </c>
      <c r="J3">
        <f>SUM(I$2:I3)</f>
        <v>3</v>
      </c>
      <c r="K3">
        <f t="shared" si="0"/>
        <v>0.25060286999999998</v>
      </c>
      <c r="L3">
        <f>SUM(K$2:K3)</f>
        <v>0.33413715999999999</v>
      </c>
      <c r="M3">
        <f t="shared" si="1"/>
        <v>0.11137905333333332</v>
      </c>
      <c r="O3">
        <f t="shared" ref="O3:O11" si="3">D3*C3</f>
        <v>1.50361722</v>
      </c>
      <c r="P3">
        <f t="shared" ref="P3:P11" si="4">E3*B3</f>
        <v>0.25060286999999998</v>
      </c>
      <c r="R3" s="1">
        <v>8.3333333333333329E-2</v>
      </c>
      <c r="S3">
        <v>2</v>
      </c>
      <c r="T3" t="s">
        <v>17</v>
      </c>
      <c r="U3">
        <v>0.38418170000000001</v>
      </c>
      <c r="V3" t="s">
        <v>18</v>
      </c>
      <c r="W3">
        <v>0.16706857999999999</v>
      </c>
      <c r="X3" t="s">
        <v>18</v>
      </c>
      <c r="Y3">
        <v>0.12530142999999999</v>
      </c>
      <c r="Z3" t="s">
        <v>19</v>
      </c>
    </row>
    <row r="4" spans="1:26" x14ac:dyDescent="0.25">
      <c r="A4">
        <v>3</v>
      </c>
      <c r="B4">
        <v>3</v>
      </c>
      <c r="C4">
        <v>8</v>
      </c>
      <c r="D4">
        <v>0.15471199999999999</v>
      </c>
      <c r="E4">
        <f>AVERAGE(D$2:D4)</f>
        <v>0.13510495666666666</v>
      </c>
      <c r="F4">
        <f>AVERAGE(E$2:E4)</f>
        <v>0.11464689388888888</v>
      </c>
      <c r="G4">
        <f>SUM(B$2:B4)</f>
        <v>6</v>
      </c>
      <c r="H4">
        <f>SUM(D$2:D4)</f>
        <v>0.40531486999999999</v>
      </c>
      <c r="I4">
        <f t="shared" si="2"/>
        <v>3</v>
      </c>
      <c r="J4">
        <f>SUM(I$2:I4)</f>
        <v>6</v>
      </c>
      <c r="K4">
        <f t="shared" si="0"/>
        <v>0.40531486999999999</v>
      </c>
      <c r="L4">
        <f>SUM(K$2:K4)</f>
        <v>0.73945203000000004</v>
      </c>
      <c r="M4">
        <f t="shared" si="1"/>
        <v>0.123242005</v>
      </c>
      <c r="O4">
        <f t="shared" si="3"/>
        <v>1.2376959999999999</v>
      </c>
      <c r="P4">
        <f t="shared" si="4"/>
        <v>0.40531486999999999</v>
      </c>
      <c r="R4" s="1">
        <v>0.125</v>
      </c>
      <c r="S4">
        <v>3</v>
      </c>
      <c r="T4" t="s">
        <v>17</v>
      </c>
      <c r="U4">
        <v>0.53889370000000003</v>
      </c>
      <c r="V4" t="s">
        <v>18</v>
      </c>
      <c r="W4">
        <v>0.15471199999999999</v>
      </c>
      <c r="X4" t="s">
        <v>18</v>
      </c>
      <c r="Y4">
        <v>0.13510496</v>
      </c>
      <c r="Z4" t="s">
        <v>19</v>
      </c>
    </row>
    <row r="5" spans="1:26" x14ac:dyDescent="0.25">
      <c r="A5">
        <v>4</v>
      </c>
      <c r="B5">
        <v>4</v>
      </c>
      <c r="C5">
        <v>7</v>
      </c>
      <c r="D5">
        <v>0.18004342000000001</v>
      </c>
      <c r="E5">
        <f>AVERAGE(D$2:D5)</f>
        <v>0.14633957250000001</v>
      </c>
      <c r="F5">
        <f>AVERAGE(E$2:E5)</f>
        <v>0.12257006354166666</v>
      </c>
      <c r="G5">
        <f>SUM(B$2:B5)</f>
        <v>10</v>
      </c>
      <c r="H5">
        <f>SUM(D$2:D5)</f>
        <v>0.58535829000000006</v>
      </c>
      <c r="I5">
        <f t="shared" si="2"/>
        <v>4</v>
      </c>
      <c r="J5">
        <f>SUM(I$2:I5)</f>
        <v>10</v>
      </c>
      <c r="K5">
        <f t="shared" si="0"/>
        <v>0.58535829000000006</v>
      </c>
      <c r="L5">
        <f>SUM(K$2:K5)</f>
        <v>1.3248103200000001</v>
      </c>
      <c r="M5">
        <f t="shared" si="1"/>
        <v>0.132481032</v>
      </c>
      <c r="O5">
        <f t="shared" si="3"/>
        <v>1.26030394</v>
      </c>
      <c r="P5">
        <f t="shared" si="4"/>
        <v>0.58535829000000006</v>
      </c>
      <c r="R5" s="1">
        <v>0.16666666666666666</v>
      </c>
      <c r="S5">
        <v>4</v>
      </c>
      <c r="T5" t="s">
        <v>17</v>
      </c>
      <c r="U5">
        <v>0.71893720000000005</v>
      </c>
      <c r="V5" t="s">
        <v>18</v>
      </c>
      <c r="W5">
        <v>0.18004342000000001</v>
      </c>
      <c r="X5" t="s">
        <v>18</v>
      </c>
      <c r="Y5">
        <v>0.14633957</v>
      </c>
      <c r="Z5" t="s">
        <v>19</v>
      </c>
    </row>
    <row r="6" spans="1:26" x14ac:dyDescent="0.25">
      <c r="A6">
        <v>5</v>
      </c>
      <c r="B6">
        <v>5</v>
      </c>
      <c r="C6">
        <v>6</v>
      </c>
      <c r="D6">
        <v>0.24306284</v>
      </c>
      <c r="E6">
        <f>AVERAGE(D$2:D6)</f>
        <v>0.16568422600000002</v>
      </c>
      <c r="F6">
        <f>AVERAGE(E$2:E6)</f>
        <v>0.13119289603333334</v>
      </c>
      <c r="G6">
        <f>SUM(B$2:B6)</f>
        <v>15</v>
      </c>
      <c r="H6">
        <f>SUM(D$2:D6)</f>
        <v>0.82842113000000006</v>
      </c>
      <c r="I6">
        <f t="shared" si="2"/>
        <v>5</v>
      </c>
      <c r="J6">
        <f>SUM(I$2:I6)</f>
        <v>15</v>
      </c>
      <c r="K6">
        <f t="shared" si="0"/>
        <v>0.82842113000000006</v>
      </c>
      <c r="L6">
        <f>SUM(K$2:K6)</f>
        <v>2.1532314500000003</v>
      </c>
      <c r="M6">
        <f t="shared" si="1"/>
        <v>0.14354876333333336</v>
      </c>
      <c r="O6">
        <f t="shared" si="3"/>
        <v>1.45837704</v>
      </c>
      <c r="P6">
        <f t="shared" si="4"/>
        <v>0.82842113000000006</v>
      </c>
      <c r="R6" s="1">
        <v>0.20833333333333334</v>
      </c>
      <c r="S6">
        <v>5</v>
      </c>
      <c r="T6" t="s">
        <v>17</v>
      </c>
      <c r="U6">
        <v>0.96199999999999997</v>
      </c>
      <c r="V6" t="s">
        <v>18</v>
      </c>
      <c r="W6">
        <v>0.24306284</v>
      </c>
      <c r="X6" t="s">
        <v>18</v>
      </c>
      <c r="Y6">
        <v>0.16568422999999999</v>
      </c>
      <c r="Z6" t="s">
        <v>19</v>
      </c>
    </row>
    <row r="7" spans="1:26" x14ac:dyDescent="0.25">
      <c r="A7">
        <v>6</v>
      </c>
      <c r="B7">
        <v>6</v>
      </c>
      <c r="C7">
        <v>5</v>
      </c>
      <c r="D7">
        <v>0.34682878</v>
      </c>
      <c r="E7">
        <f>AVERAGE(D$2:D7)</f>
        <v>0.195874985</v>
      </c>
      <c r="F7">
        <f>AVERAGE(E$2:E7)</f>
        <v>0.14197324419444443</v>
      </c>
      <c r="G7">
        <f>SUM(B$2:B7)</f>
        <v>21</v>
      </c>
      <c r="H7">
        <f>SUM(D$2:D7)</f>
        <v>1.17524991</v>
      </c>
      <c r="I7">
        <f t="shared" si="2"/>
        <v>6</v>
      </c>
      <c r="J7">
        <f>SUM(I$2:I7)</f>
        <v>21</v>
      </c>
      <c r="K7">
        <f t="shared" si="0"/>
        <v>1.17524991</v>
      </c>
      <c r="L7">
        <f>SUM(K$2:K7)</f>
        <v>3.3284813600000005</v>
      </c>
      <c r="M7">
        <f t="shared" si="1"/>
        <v>0.15849911238095241</v>
      </c>
      <c r="O7">
        <f t="shared" si="3"/>
        <v>1.7341439000000001</v>
      </c>
      <c r="P7">
        <f t="shared" si="4"/>
        <v>1.17524991</v>
      </c>
      <c r="R7" s="1">
        <v>0.25</v>
      </c>
      <c r="S7">
        <v>6</v>
      </c>
      <c r="T7" t="s">
        <v>17</v>
      </c>
      <c r="U7">
        <v>1.3088287999999999</v>
      </c>
      <c r="V7" t="s">
        <v>18</v>
      </c>
      <c r="W7">
        <v>0.34682878</v>
      </c>
      <c r="X7" t="s">
        <v>18</v>
      </c>
      <c r="Y7">
        <v>0.19587499</v>
      </c>
      <c r="Z7" t="s">
        <v>19</v>
      </c>
    </row>
    <row r="8" spans="1:26" x14ac:dyDescent="0.25">
      <c r="A8">
        <v>7</v>
      </c>
      <c r="B8">
        <v>7</v>
      </c>
      <c r="C8">
        <v>4</v>
      </c>
      <c r="D8">
        <v>0.50357529999999995</v>
      </c>
      <c r="E8">
        <f>AVERAGE(D$2:D8)</f>
        <v>0.23983217285714284</v>
      </c>
      <c r="F8">
        <f>AVERAGE(E$2:E8)</f>
        <v>0.15595309114625849</v>
      </c>
      <c r="G8">
        <f>SUM(B$2:B8)</f>
        <v>28</v>
      </c>
      <c r="H8">
        <f>SUM(D$2:D8)</f>
        <v>1.6788252099999998</v>
      </c>
      <c r="I8">
        <f t="shared" si="2"/>
        <v>7</v>
      </c>
      <c r="J8">
        <f>SUM(I$2:I8)</f>
        <v>28</v>
      </c>
      <c r="K8">
        <f t="shared" si="0"/>
        <v>1.6788252099999998</v>
      </c>
      <c r="L8">
        <f>SUM(K$2:K8)</f>
        <v>5.0073065700000008</v>
      </c>
      <c r="M8">
        <f t="shared" si="1"/>
        <v>0.17883237750000003</v>
      </c>
      <c r="O8">
        <f t="shared" si="3"/>
        <v>2.0143011999999998</v>
      </c>
      <c r="P8">
        <f t="shared" si="4"/>
        <v>1.6788252099999998</v>
      </c>
      <c r="R8" s="1">
        <v>0.29166666666666669</v>
      </c>
      <c r="S8">
        <v>7</v>
      </c>
      <c r="T8" t="s">
        <v>17</v>
      </c>
      <c r="U8">
        <v>1.8124041</v>
      </c>
      <c r="V8" t="s">
        <v>18</v>
      </c>
      <c r="W8">
        <v>0.50357529999999995</v>
      </c>
      <c r="X8" t="s">
        <v>18</v>
      </c>
      <c r="Y8">
        <v>0.23983217000000001</v>
      </c>
      <c r="Z8" t="s">
        <v>19</v>
      </c>
    </row>
    <row r="9" spans="1:26" x14ac:dyDescent="0.25">
      <c r="A9">
        <v>8</v>
      </c>
      <c r="B9">
        <v>8</v>
      </c>
      <c r="C9">
        <v>3</v>
      </c>
      <c r="D9">
        <v>0.71636091000000002</v>
      </c>
      <c r="E9">
        <f>AVERAGE(D$2:D9)</f>
        <v>0.299398265</v>
      </c>
      <c r="F9">
        <f>AVERAGE(E$2:E9)</f>
        <v>0.17388373787797617</v>
      </c>
      <c r="G9">
        <f>SUM(B$2:B9)</f>
        <v>36</v>
      </c>
      <c r="H9">
        <f>SUM(D$2:D9)</f>
        <v>2.39518612</v>
      </c>
      <c r="I9">
        <f t="shared" si="2"/>
        <v>8</v>
      </c>
      <c r="J9">
        <f>SUM(I$2:I9)</f>
        <v>36</v>
      </c>
      <c r="K9">
        <f t="shared" si="0"/>
        <v>2.39518612</v>
      </c>
      <c r="L9">
        <f>SUM(K$2:K9)</f>
        <v>7.4024926900000008</v>
      </c>
      <c r="M9">
        <f t="shared" si="1"/>
        <v>0.20562479694444447</v>
      </c>
      <c r="O9">
        <f t="shared" si="3"/>
        <v>2.1490827299999999</v>
      </c>
      <c r="P9">
        <f t="shared" si="4"/>
        <v>2.39518612</v>
      </c>
      <c r="R9" s="1">
        <v>0.33333333333333331</v>
      </c>
      <c r="S9">
        <v>8</v>
      </c>
      <c r="T9" t="s">
        <v>17</v>
      </c>
      <c r="U9">
        <v>2.5287649999999999</v>
      </c>
      <c r="V9" t="s">
        <v>18</v>
      </c>
      <c r="W9">
        <v>0.71636091000000002</v>
      </c>
      <c r="X9" t="s">
        <v>18</v>
      </c>
      <c r="Y9">
        <v>0.29939826000000003</v>
      </c>
      <c r="Z9" t="s">
        <v>19</v>
      </c>
    </row>
    <row r="10" spans="1:26" x14ac:dyDescent="0.25">
      <c r="A10">
        <v>9</v>
      </c>
      <c r="B10">
        <v>9</v>
      </c>
      <c r="C10">
        <v>2</v>
      </c>
      <c r="D10">
        <v>0.98518561000000004</v>
      </c>
      <c r="E10">
        <f>AVERAGE(D$2:D10)</f>
        <v>0.37559685888888894</v>
      </c>
      <c r="F10">
        <f>AVERAGE(E$2:E10)</f>
        <v>0.1962963068791887</v>
      </c>
      <c r="G10">
        <f>SUM(B$2:B10)</f>
        <v>45</v>
      </c>
      <c r="H10">
        <f>SUM(D$2:D10)</f>
        <v>3.3803717300000002</v>
      </c>
      <c r="I10">
        <f t="shared" si="2"/>
        <v>9</v>
      </c>
      <c r="J10">
        <f>SUM(I$2:I10)</f>
        <v>45</v>
      </c>
      <c r="K10">
        <f t="shared" si="0"/>
        <v>3.3803717300000002</v>
      </c>
      <c r="L10">
        <f>SUM(K$2:K10)</f>
        <v>10.782864420000001</v>
      </c>
      <c r="M10">
        <f t="shared" si="1"/>
        <v>0.23961920933333336</v>
      </c>
      <c r="O10">
        <f t="shared" si="3"/>
        <v>1.9703712200000001</v>
      </c>
      <c r="P10">
        <f t="shared" si="4"/>
        <v>3.3803717300000002</v>
      </c>
      <c r="R10" s="1">
        <v>0.375</v>
      </c>
      <c r="S10">
        <v>9</v>
      </c>
      <c r="T10" t="s">
        <v>17</v>
      </c>
      <c r="U10">
        <v>3.5139505999999998</v>
      </c>
      <c r="V10" t="s">
        <v>18</v>
      </c>
      <c r="W10">
        <v>0.98518561000000004</v>
      </c>
      <c r="X10" t="s">
        <v>18</v>
      </c>
      <c r="Y10">
        <v>0.37559685999999998</v>
      </c>
      <c r="Z10" t="s">
        <v>19</v>
      </c>
    </row>
    <row r="11" spans="1:26" x14ac:dyDescent="0.25">
      <c r="A11">
        <v>10</v>
      </c>
      <c r="B11">
        <v>10</v>
      </c>
      <c r="C11">
        <v>1</v>
      </c>
      <c r="D11">
        <v>1.31004941</v>
      </c>
      <c r="E11">
        <f>AVERAGE(D$2:D11)</f>
        <v>0.46904211399999995</v>
      </c>
      <c r="F11">
        <f>AVERAGE(E$2:E11)</f>
        <v>0.22357088759126981</v>
      </c>
      <c r="G11">
        <f>SUM(B$2:B11)</f>
        <v>55</v>
      </c>
      <c r="H11">
        <f>SUM(D$2:D11)</f>
        <v>4.6904211399999998</v>
      </c>
      <c r="I11">
        <f t="shared" si="2"/>
        <v>10</v>
      </c>
      <c r="J11">
        <f>SUM(I$2:I11)</f>
        <v>55</v>
      </c>
      <c r="K11">
        <f>E11*I11</f>
        <v>4.6904211399999998</v>
      </c>
      <c r="L11">
        <f>SUM(K$2:K11)</f>
        <v>15.473285560000001</v>
      </c>
      <c r="M11">
        <f>L11/J11</f>
        <v>0.28133246472727275</v>
      </c>
      <c r="O11">
        <f t="shared" si="3"/>
        <v>1.31004941</v>
      </c>
      <c r="P11">
        <f t="shared" si="4"/>
        <v>4.6904211399999998</v>
      </c>
      <c r="R11" s="1">
        <v>0.41666666666666669</v>
      </c>
      <c r="S11">
        <v>10</v>
      </c>
      <c r="T11" t="s">
        <v>17</v>
      </c>
      <c r="U11">
        <v>4.8239999999999998</v>
      </c>
      <c r="V11" t="s">
        <v>18</v>
      </c>
      <c r="W11">
        <v>1.31004941</v>
      </c>
      <c r="X11" t="s">
        <v>18</v>
      </c>
      <c r="Y11">
        <v>0.46904211000000001</v>
      </c>
      <c r="Z11" t="s">
        <v>19</v>
      </c>
    </row>
    <row r="13" spans="1:26" x14ac:dyDescent="0.25">
      <c r="C13">
        <f>SUM(C2:C11)</f>
        <v>55</v>
      </c>
      <c r="D13">
        <f>SUM(D2:D11)</f>
        <v>4.6904211399999998</v>
      </c>
      <c r="E13">
        <f>SUM(E2:E11)</f>
        <v>2.2357088759126982</v>
      </c>
      <c r="O13">
        <f>SUM(O2:O11)</f>
        <v>15.473285560000001</v>
      </c>
      <c r="P13">
        <f>SUM(P2:P11)</f>
        <v>15.473285560000001</v>
      </c>
    </row>
    <row r="14" spans="1:26" x14ac:dyDescent="0.25">
      <c r="O14">
        <f>O13/C13</f>
        <v>0.28133246472727275</v>
      </c>
      <c r="P14">
        <f>P13/C13</f>
        <v>0.28133246472727275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F59E-1B20-4CB3-9BAF-D9F91CED8A8A}">
  <dimension ref="A1:K20"/>
  <sheetViews>
    <sheetView workbookViewId="0">
      <selection activeCell="B20" sqref="B20"/>
    </sheetView>
  </sheetViews>
  <sheetFormatPr defaultRowHeight="15" x14ac:dyDescent="0.25"/>
  <cols>
    <col min="1" max="1" width="11.7109375" bestFit="1" customWidth="1"/>
  </cols>
  <sheetData>
    <row r="1" spans="1:11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1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</row>
    <row r="4" spans="1:11" x14ac:dyDescent="0.25">
      <c r="A4">
        <v>3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</row>
    <row r="5" spans="1:11" x14ac:dyDescent="0.25">
      <c r="A5">
        <v>4</v>
      </c>
      <c r="B5">
        <v>8</v>
      </c>
      <c r="C5">
        <v>8</v>
      </c>
      <c r="D5">
        <v>8</v>
      </c>
      <c r="E5">
        <v>8</v>
      </c>
      <c r="F5">
        <v>8</v>
      </c>
      <c r="G5">
        <v>8</v>
      </c>
      <c r="H5">
        <v>8</v>
      </c>
    </row>
    <row r="6" spans="1:11" x14ac:dyDescent="0.25">
      <c r="A6">
        <v>5</v>
      </c>
      <c r="B6">
        <v>11</v>
      </c>
      <c r="C6">
        <v>11</v>
      </c>
      <c r="D6">
        <v>11</v>
      </c>
      <c r="E6">
        <v>11</v>
      </c>
      <c r="F6">
        <v>11</v>
      </c>
      <c r="G6">
        <v>11</v>
      </c>
    </row>
    <row r="7" spans="1:11" x14ac:dyDescent="0.25">
      <c r="A7">
        <v>6</v>
      </c>
      <c r="B7">
        <v>15</v>
      </c>
      <c r="C7">
        <v>15</v>
      </c>
      <c r="D7">
        <v>15</v>
      </c>
      <c r="E7">
        <v>15</v>
      </c>
      <c r="F7">
        <v>15</v>
      </c>
    </row>
    <row r="8" spans="1:11" x14ac:dyDescent="0.25">
      <c r="A8">
        <v>7</v>
      </c>
      <c r="B8">
        <v>19</v>
      </c>
      <c r="C8">
        <v>19</v>
      </c>
      <c r="D8">
        <v>19</v>
      </c>
      <c r="E8">
        <v>19</v>
      </c>
    </row>
    <row r="9" spans="1:11" x14ac:dyDescent="0.25">
      <c r="A9">
        <v>8</v>
      </c>
      <c r="B9">
        <v>20</v>
      </c>
      <c r="C9">
        <v>20</v>
      </c>
      <c r="D9">
        <v>20</v>
      </c>
    </row>
    <row r="10" spans="1:11" x14ac:dyDescent="0.25">
      <c r="A10">
        <v>9</v>
      </c>
      <c r="B10">
        <v>18</v>
      </c>
      <c r="C10">
        <v>18</v>
      </c>
    </row>
    <row r="11" spans="1:11" x14ac:dyDescent="0.25">
      <c r="A11">
        <v>10</v>
      </c>
      <c r="B11">
        <v>10</v>
      </c>
    </row>
    <row r="13" spans="1:11" x14ac:dyDescent="0.25">
      <c r="A13" t="s">
        <v>2</v>
      </c>
      <c r="B13">
        <f>AVERAGE(B2:K11)</f>
        <v>8.290909090909091</v>
      </c>
    </row>
    <row r="14" spans="1:11" x14ac:dyDescent="0.25">
      <c r="A14" t="s">
        <v>15</v>
      </c>
    </row>
    <row r="15" spans="1:11" x14ac:dyDescent="0.25">
      <c r="A15" t="s">
        <v>0</v>
      </c>
      <c r="B15">
        <v>10</v>
      </c>
      <c r="C15">
        <v>9</v>
      </c>
      <c r="D15">
        <v>8</v>
      </c>
      <c r="E15">
        <v>7</v>
      </c>
      <c r="F15">
        <v>6</v>
      </c>
      <c r="G15">
        <v>5</v>
      </c>
      <c r="H15">
        <v>4</v>
      </c>
      <c r="I15">
        <v>3</v>
      </c>
      <c r="J15">
        <v>2</v>
      </c>
      <c r="K15">
        <v>1</v>
      </c>
    </row>
    <row r="16" spans="1:11" x14ac:dyDescent="0.25">
      <c r="A16" t="s">
        <v>2</v>
      </c>
      <c r="B16">
        <f>AVERAGE(B2:B11)</f>
        <v>11</v>
      </c>
      <c r="C16">
        <f t="shared" ref="C16:K16" si="0">AVERAGE(C2:C11)</f>
        <v>11.111111111111111</v>
      </c>
      <c r="D16">
        <f t="shared" si="0"/>
        <v>10.25</v>
      </c>
      <c r="E16">
        <f t="shared" si="0"/>
        <v>8.8571428571428577</v>
      </c>
      <c r="F16">
        <f t="shared" si="0"/>
        <v>7.166666666666667</v>
      </c>
      <c r="G16">
        <f t="shared" si="0"/>
        <v>5.6</v>
      </c>
      <c r="H16">
        <f t="shared" si="0"/>
        <v>4.25</v>
      </c>
      <c r="I16">
        <f t="shared" si="0"/>
        <v>3</v>
      </c>
      <c r="J16">
        <f t="shared" si="0"/>
        <v>2</v>
      </c>
      <c r="K16">
        <f t="shared" si="0"/>
        <v>1</v>
      </c>
    </row>
    <row r="17" spans="1:11" x14ac:dyDescent="0.25">
      <c r="A17" t="s">
        <v>6</v>
      </c>
      <c r="B17">
        <v>10</v>
      </c>
      <c r="C17">
        <v>9</v>
      </c>
      <c r="D17">
        <v>8</v>
      </c>
      <c r="E17">
        <v>7</v>
      </c>
      <c r="F17">
        <v>6</v>
      </c>
      <c r="G17">
        <v>5</v>
      </c>
      <c r="H17">
        <v>4</v>
      </c>
      <c r="I17">
        <v>3</v>
      </c>
      <c r="J17">
        <v>2</v>
      </c>
      <c r="K17">
        <v>1</v>
      </c>
    </row>
    <row r="18" spans="1:11" x14ac:dyDescent="0.25">
      <c r="A18" t="s">
        <v>16</v>
      </c>
      <c r="B18">
        <f>B16*B17</f>
        <v>110</v>
      </c>
      <c r="C18">
        <f t="shared" ref="C18:K18" si="1">C16*C17</f>
        <v>100</v>
      </c>
      <c r="D18">
        <f t="shared" si="1"/>
        <v>82</v>
      </c>
      <c r="E18">
        <f t="shared" si="1"/>
        <v>62</v>
      </c>
      <c r="F18">
        <f t="shared" si="1"/>
        <v>43</v>
      </c>
      <c r="G18">
        <f t="shared" si="1"/>
        <v>28</v>
      </c>
      <c r="H18">
        <f t="shared" si="1"/>
        <v>17</v>
      </c>
      <c r="I18">
        <f t="shared" si="1"/>
        <v>9</v>
      </c>
      <c r="J18">
        <f t="shared" si="1"/>
        <v>4</v>
      </c>
      <c r="K18">
        <f t="shared" si="1"/>
        <v>1</v>
      </c>
    </row>
    <row r="20" spans="1:11" x14ac:dyDescent="0.25">
      <c r="B20">
        <f>SUM(B18:K18)/SUM(B17:K17)</f>
        <v>8.290909090909091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3CD8-9102-4DD6-B70E-7AC905FF0A76}">
  <dimension ref="A1:B1"/>
  <sheetViews>
    <sheetView workbookViewId="0"/>
  </sheetViews>
  <sheetFormatPr defaultRowHeight="15" x14ac:dyDescent="0.25"/>
  <sheetData>
    <row r="1" spans="1:2" x14ac:dyDescent="0.25">
      <c r="A1" t="s">
        <v>14</v>
      </c>
      <c r="B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param</vt:lpstr>
      <vt:lpstr>rotn_length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Levy</dc:creator>
  <cp:lastModifiedBy>Peter Levy</cp:lastModifiedBy>
  <dcterms:created xsi:type="dcterms:W3CDTF">2025-11-12T10:27:16Z</dcterms:created>
  <dcterms:modified xsi:type="dcterms:W3CDTF">2025-11-12T12:18:44Z</dcterms:modified>
</cp:coreProperties>
</file>